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attempt (Viable but slo" sheetId="1" r:id="rId4"/>
    <sheet state="visible" name="Second attempt (More viable)" sheetId="2" r:id="rId5"/>
    <sheet state="visible" name="Third attempt (no better than 2" sheetId="3" r:id="rId6"/>
    <sheet state="visible" name="Fourth attempt (unable to justi" sheetId="4" r:id="rId7"/>
    <sheet state="visible" name="2000RPM (w efficiency)" sheetId="5" r:id="rId8"/>
    <sheet state="visible" name="1000RPM (w efficiency)" sheetId="6" r:id="rId9"/>
    <sheet state="visible" name="Copy of 1000RPM (w efficiency)" sheetId="7" r:id="rId10"/>
  </sheets>
  <definedNames/>
  <calcPr/>
</workbook>
</file>

<file path=xl/sharedStrings.xml><?xml version="1.0" encoding="utf-8"?>
<sst xmlns="http://schemas.openxmlformats.org/spreadsheetml/2006/main" count="146" uniqueCount="33">
  <si>
    <t>Total power from wall (W)</t>
  </si>
  <si>
    <t>Power allocated for other loads (W)</t>
  </si>
  <si>
    <t>Safety buffer (%)</t>
  </si>
  <si>
    <t>Results</t>
  </si>
  <si>
    <t>Allowable power for lathe (W)</t>
  </si>
  <si>
    <t>Spindle power (W)</t>
  </si>
  <si>
    <t>Spindle RPM N</t>
  </si>
  <si>
    <t>Drill diameter (cm)</t>
  </si>
  <si>
    <t>Drivetrain efficiency</t>
  </si>
  <si>
    <t>Spindle torque (Nm)</t>
  </si>
  <si>
    <t>Torque factor for drill diameter Fm</t>
  </si>
  <si>
    <t>Work material factor Kd</t>
  </si>
  <si>
    <t>Chisel edge factor A</t>
  </si>
  <si>
    <t>Tool wear factor W</t>
  </si>
  <si>
    <t>Permissible feed rate factor Ff</t>
  </si>
  <si>
    <t>Applicable feed rate mm/rev</t>
  </si>
  <si>
    <t>approx 0.01</t>
  </si>
  <si>
    <t>0.333mm/s drilled</t>
  </si>
  <si>
    <t>3s per 1mm</t>
  </si>
  <si>
    <t>Applicable feed rate</t>
  </si>
  <si>
    <t>around 0.045</t>
  </si>
  <si>
    <t>0.75mm/s drilled</t>
  </si>
  <si>
    <t>1.333s per mm</t>
  </si>
  <si>
    <t>0.746mm/s</t>
  </si>
  <si>
    <t>1.34s per mm</t>
  </si>
  <si>
    <t>Ff</t>
  </si>
  <si>
    <t>Feed</t>
  </si>
  <si>
    <t>0.025 roughly</t>
  </si>
  <si>
    <t>0.625mm/s</t>
  </si>
  <si>
    <t>1.6s/mm</t>
  </si>
  <si>
    <t>Spindle power after inefficiency (W)</t>
  </si>
  <si>
    <t>0.5mm/s</t>
  </si>
  <si>
    <t>2s per mm drilled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</si>
</sst>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0" fontId="1" numFmtId="0" xfId="0" applyFont="1"/>
    <xf borderId="0" fillId="5" fontId="3" numFmtId="0" xfId="0" applyFill="1" applyFont="1"/>
    <xf borderId="0" fillId="0" fontId="1" numFmtId="164" xfId="0" applyFont="1" applyNumberFormat="1"/>
    <xf borderId="0" fillId="0" fontId="1" numFmtId="2" xfId="0" applyFont="1" applyNumberFormat="1"/>
    <xf borderId="0" fillId="3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8.25"/>
    <col customWidth="1" min="4" max="4" width="16.38"/>
    <col customWidth="1" min="5" max="5" width="16.5"/>
  </cols>
  <sheetData>
    <row r="1">
      <c r="A1" s="1"/>
    </row>
    <row r="5">
      <c r="B5" s="2" t="s">
        <v>0</v>
      </c>
      <c r="C5" s="2" t="s">
        <v>1</v>
      </c>
      <c r="D5" s="2" t="s">
        <v>2</v>
      </c>
    </row>
    <row r="6">
      <c r="B6" s="3">
        <v>2400.0</v>
      </c>
      <c r="C6" s="3">
        <v>400.0</v>
      </c>
      <c r="D6" s="3">
        <v>10.0</v>
      </c>
    </row>
    <row r="7">
      <c r="A7" s="4" t="s">
        <v>3</v>
      </c>
      <c r="B7" s="5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B8" s="7">
        <f>(B6-C6)*(100-D6)/100</f>
        <v>1800</v>
      </c>
    </row>
    <row r="10">
      <c r="B10" s="2" t="s">
        <v>5</v>
      </c>
      <c r="C10" s="2" t="s">
        <v>6</v>
      </c>
      <c r="D10" s="2" t="s">
        <v>7</v>
      </c>
      <c r="E10" s="2" t="s">
        <v>8</v>
      </c>
      <c r="F10" s="2"/>
      <c r="G10" s="2"/>
      <c r="H10" s="2"/>
      <c r="I10" s="2"/>
      <c r="J10" s="2"/>
    </row>
    <row r="11">
      <c r="B11" s="3">
        <v>1670.0</v>
      </c>
      <c r="C11" s="3">
        <v>2000.0</v>
      </c>
      <c r="D11" s="3">
        <v>2.2</v>
      </c>
      <c r="E11" s="3">
        <v>0.675</v>
      </c>
      <c r="F11" s="3"/>
      <c r="G11" s="3"/>
      <c r="H11" s="3"/>
      <c r="I11" s="3"/>
      <c r="J11" s="3"/>
    </row>
    <row r="12">
      <c r="A12" s="4" t="s">
        <v>3</v>
      </c>
      <c r="B12" s="5" t="s">
        <v>9</v>
      </c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8">
        <f>B11/(C11*2*PI()/60)</f>
        <v>7.973662649</v>
      </c>
    </row>
    <row r="17">
      <c r="B17" s="2" t="s">
        <v>10</v>
      </c>
      <c r="C17" s="2" t="s">
        <v>11</v>
      </c>
      <c r="D17" s="2" t="s">
        <v>12</v>
      </c>
      <c r="E17" s="2" t="s">
        <v>13</v>
      </c>
    </row>
    <row r="18">
      <c r="B18" s="3">
        <v>260.8</v>
      </c>
      <c r="C18" s="3">
        <v>24000.0</v>
      </c>
      <c r="D18" s="3">
        <v>1.0</v>
      </c>
      <c r="E18" s="3">
        <v>1.5</v>
      </c>
    </row>
    <row r="19">
      <c r="A19" s="4" t="s">
        <v>3</v>
      </c>
      <c r="B19" s="5" t="s">
        <v>14</v>
      </c>
      <c r="C19" s="5" t="s">
        <v>15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9">
        <f>B13/(0.000025*C18*B18*D18*E18)</f>
        <v>0.03397095539</v>
      </c>
      <c r="C20" s="1" t="s">
        <v>16</v>
      </c>
    </row>
    <row r="21">
      <c r="C21" s="1" t="s">
        <v>17</v>
      </c>
    </row>
    <row r="22">
      <c r="C22" s="1" t="s">
        <v>18</v>
      </c>
    </row>
  </sheetData>
  <conditionalFormatting sqref="D19">
    <cfRule type="cellIs" dxfId="0" priority="1" operator="greaterThan">
      <formula>"B20&gt;B8"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8.25"/>
    <col customWidth="1" min="4" max="4" width="16.38"/>
    <col customWidth="1" min="5" max="5" width="16.5"/>
  </cols>
  <sheetData>
    <row r="1">
      <c r="A1" s="1"/>
    </row>
    <row r="5">
      <c r="B5" s="2" t="s">
        <v>0</v>
      </c>
      <c r="C5" s="2" t="s">
        <v>1</v>
      </c>
      <c r="D5" s="2" t="s">
        <v>2</v>
      </c>
    </row>
    <row r="6">
      <c r="B6" s="3">
        <v>2400.0</v>
      </c>
      <c r="C6" s="3">
        <v>400.0</v>
      </c>
      <c r="D6" s="3">
        <v>10.0</v>
      </c>
    </row>
    <row r="7">
      <c r="A7" s="4" t="s">
        <v>3</v>
      </c>
      <c r="B7" s="5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B8" s="7">
        <f>(B6-C6)*(100-D6)/100</f>
        <v>1800</v>
      </c>
    </row>
    <row r="10">
      <c r="B10" s="2" t="s">
        <v>5</v>
      </c>
      <c r="C10" s="2" t="s">
        <v>6</v>
      </c>
      <c r="D10" s="2" t="s">
        <v>7</v>
      </c>
      <c r="E10" s="2"/>
      <c r="F10" s="2"/>
      <c r="G10" s="2"/>
      <c r="H10" s="2"/>
      <c r="I10" s="2"/>
      <c r="J10" s="2"/>
    </row>
    <row r="11">
      <c r="B11" s="3">
        <v>1670.0</v>
      </c>
      <c r="C11" s="3">
        <v>1000.0</v>
      </c>
      <c r="D11" s="3">
        <v>2.2</v>
      </c>
      <c r="E11" s="3"/>
      <c r="F11" s="3"/>
      <c r="G11" s="3"/>
      <c r="H11" s="3"/>
      <c r="I11" s="3"/>
      <c r="J11" s="3"/>
    </row>
    <row r="12">
      <c r="A12" s="4" t="s">
        <v>3</v>
      </c>
      <c r="B12" s="5" t="s">
        <v>9</v>
      </c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8">
        <f>B11/(C11*2*PI()/60)</f>
        <v>15.9473253</v>
      </c>
    </row>
    <row r="17">
      <c r="B17" s="2" t="s">
        <v>10</v>
      </c>
      <c r="C17" s="2" t="s">
        <v>11</v>
      </c>
      <c r="D17" s="2" t="s">
        <v>12</v>
      </c>
      <c r="E17" s="2" t="s">
        <v>13</v>
      </c>
    </row>
    <row r="18">
      <c r="B18" s="3">
        <v>260.8</v>
      </c>
      <c r="C18" s="3">
        <v>24000.0</v>
      </c>
      <c r="D18" s="3">
        <v>1.0</v>
      </c>
      <c r="E18" s="3">
        <v>1.3</v>
      </c>
    </row>
    <row r="19">
      <c r="A19" s="4" t="s">
        <v>3</v>
      </c>
      <c r="B19" s="5" t="s">
        <v>14</v>
      </c>
      <c r="C19" s="5" t="s">
        <v>19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10">
        <f>B13/(0.000025*C18*B18*D18*E18)</f>
        <v>0.07839451244</v>
      </c>
      <c r="C20" s="1" t="s">
        <v>20</v>
      </c>
    </row>
    <row r="22">
      <c r="C22" s="1" t="s">
        <v>21</v>
      </c>
    </row>
    <row r="23">
      <c r="C23" s="1" t="s">
        <v>22</v>
      </c>
    </row>
  </sheetData>
  <conditionalFormatting sqref="D19">
    <cfRule type="cellIs" dxfId="0" priority="1" operator="greaterThan">
      <formula>"B20&gt;B8"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8.25"/>
    <col customWidth="1" min="4" max="4" width="16.38"/>
    <col customWidth="1" min="5" max="5" width="16.5"/>
  </cols>
  <sheetData>
    <row r="1">
      <c r="A1" s="1"/>
    </row>
    <row r="5">
      <c r="B5" s="2" t="s">
        <v>0</v>
      </c>
      <c r="C5" s="2" t="s">
        <v>1</v>
      </c>
      <c r="D5" s="2" t="s">
        <v>2</v>
      </c>
    </row>
    <row r="6">
      <c r="B6" s="3">
        <v>2400.0</v>
      </c>
      <c r="C6" s="3">
        <v>400.0</v>
      </c>
      <c r="D6" s="3">
        <v>10.0</v>
      </c>
    </row>
    <row r="7">
      <c r="A7" s="4" t="s">
        <v>3</v>
      </c>
      <c r="B7" s="5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B8" s="7">
        <f>(B6-C6)*(100-D6)/100</f>
        <v>1800</v>
      </c>
    </row>
    <row r="10">
      <c r="B10" s="2" t="s">
        <v>5</v>
      </c>
      <c r="C10" s="2" t="s">
        <v>6</v>
      </c>
      <c r="D10" s="2" t="s">
        <v>7</v>
      </c>
      <c r="E10" s="2"/>
      <c r="F10" s="2"/>
      <c r="G10" s="2"/>
      <c r="H10" s="2"/>
      <c r="I10" s="2"/>
      <c r="J10" s="2"/>
    </row>
    <row r="11">
      <c r="B11" s="3">
        <v>1670.0</v>
      </c>
      <c r="C11" s="3">
        <v>700.0</v>
      </c>
      <c r="D11" s="3">
        <v>2.2</v>
      </c>
      <c r="E11" s="3"/>
      <c r="F11" s="3"/>
      <c r="G11" s="3"/>
      <c r="H11" s="3"/>
      <c r="I11" s="3"/>
      <c r="J11" s="3"/>
    </row>
    <row r="12">
      <c r="A12" s="4" t="s">
        <v>3</v>
      </c>
      <c r="B12" s="5" t="s">
        <v>9</v>
      </c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8">
        <f>B11/(C11*2*PI()/60)</f>
        <v>22.78189328</v>
      </c>
    </row>
    <row r="17">
      <c r="B17" s="2" t="s">
        <v>10</v>
      </c>
      <c r="C17" s="2" t="s">
        <v>11</v>
      </c>
      <c r="D17" s="2" t="s">
        <v>12</v>
      </c>
      <c r="E17" s="2" t="s">
        <v>13</v>
      </c>
    </row>
    <row r="18">
      <c r="B18" s="3">
        <v>260.8</v>
      </c>
      <c r="C18" s="3">
        <v>24000.0</v>
      </c>
      <c r="D18" s="3">
        <v>1.0</v>
      </c>
      <c r="E18" s="3">
        <v>1.3</v>
      </c>
    </row>
    <row r="19">
      <c r="A19" s="4" t="s">
        <v>3</v>
      </c>
      <c r="B19" s="5" t="s">
        <v>14</v>
      </c>
      <c r="C19" s="5" t="s">
        <v>19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10">
        <f>B13/(0.000025*C18*B18*D18*E18)</f>
        <v>0.1119921606</v>
      </c>
      <c r="C20" s="1">
        <v>0.064</v>
      </c>
    </row>
    <row r="22">
      <c r="C22" s="1" t="s">
        <v>23</v>
      </c>
    </row>
    <row r="23">
      <c r="C23" s="1" t="s">
        <v>24</v>
      </c>
    </row>
    <row r="25">
      <c r="D25" s="1" t="s">
        <v>25</v>
      </c>
      <c r="E25" s="1" t="s">
        <v>26</v>
      </c>
    </row>
    <row r="26">
      <c r="D26" s="1">
        <v>0.091</v>
      </c>
      <c r="E26" s="1">
        <v>0.05</v>
      </c>
    </row>
    <row r="27">
      <c r="D27" s="1">
        <v>0.133</v>
      </c>
      <c r="E27" s="1">
        <v>0.08</v>
      </c>
    </row>
    <row r="28">
      <c r="D28" s="1">
        <v>0.158</v>
      </c>
      <c r="E28" s="1">
        <v>0.1</v>
      </c>
    </row>
    <row r="29">
      <c r="D29" s="1">
        <v>0.183</v>
      </c>
      <c r="E29" s="1">
        <v>0.12</v>
      </c>
    </row>
    <row r="30">
      <c r="D30" s="1">
        <v>0.219</v>
      </c>
      <c r="E30" s="1">
        <v>0.15</v>
      </c>
    </row>
  </sheetData>
  <conditionalFormatting sqref="D19">
    <cfRule type="cellIs" dxfId="0" priority="1" operator="greaterThan">
      <formula>"B20&gt;B8"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8.25"/>
    <col customWidth="1" min="4" max="4" width="16.38"/>
    <col customWidth="1" min="5" max="5" width="16.5"/>
  </cols>
  <sheetData>
    <row r="1">
      <c r="A1" s="1"/>
    </row>
    <row r="5">
      <c r="B5" s="2" t="s">
        <v>0</v>
      </c>
      <c r="C5" s="2" t="s">
        <v>1</v>
      </c>
      <c r="D5" s="2" t="s">
        <v>2</v>
      </c>
    </row>
    <row r="6">
      <c r="B6" s="3">
        <v>2400.0</v>
      </c>
      <c r="C6" s="3">
        <v>400.0</v>
      </c>
      <c r="D6" s="3">
        <v>10.0</v>
      </c>
    </row>
    <row r="7">
      <c r="A7" s="4" t="s">
        <v>3</v>
      </c>
      <c r="B7" s="5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B8" s="7">
        <f>(B6-C6)*(100-D6)/100</f>
        <v>1800</v>
      </c>
    </row>
    <row r="10">
      <c r="B10" s="2" t="s">
        <v>5</v>
      </c>
      <c r="C10" s="2" t="s">
        <v>6</v>
      </c>
      <c r="D10" s="2" t="s">
        <v>7</v>
      </c>
      <c r="E10" s="2"/>
      <c r="F10" s="2"/>
      <c r="G10" s="2"/>
      <c r="H10" s="2"/>
      <c r="I10" s="2"/>
      <c r="J10" s="2"/>
    </row>
    <row r="11">
      <c r="B11" s="3">
        <v>1670.0</v>
      </c>
      <c r="C11" s="3">
        <v>1500.0</v>
      </c>
      <c r="D11" s="3">
        <v>2.2</v>
      </c>
      <c r="E11" s="3"/>
      <c r="F11" s="3"/>
      <c r="G11" s="3"/>
      <c r="H11" s="3"/>
      <c r="I11" s="3"/>
      <c r="J11" s="3"/>
    </row>
    <row r="12">
      <c r="A12" s="4" t="s">
        <v>3</v>
      </c>
      <c r="B12" s="5" t="s">
        <v>9</v>
      </c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8">
        <f>B11/(C11*2*PI()/60)</f>
        <v>10.6315502</v>
      </c>
    </row>
    <row r="17">
      <c r="B17" s="2" t="s">
        <v>10</v>
      </c>
      <c r="C17" s="2" t="s">
        <v>11</v>
      </c>
      <c r="D17" s="2" t="s">
        <v>12</v>
      </c>
      <c r="E17" s="2" t="s">
        <v>13</v>
      </c>
    </row>
    <row r="18">
      <c r="B18" s="3">
        <v>260.8</v>
      </c>
      <c r="C18" s="3">
        <v>24000.0</v>
      </c>
      <c r="D18" s="3">
        <v>1.0</v>
      </c>
      <c r="E18" s="3">
        <v>1.3</v>
      </c>
    </row>
    <row r="19">
      <c r="A19" s="4" t="s">
        <v>3</v>
      </c>
      <c r="B19" s="5" t="s">
        <v>14</v>
      </c>
      <c r="C19" s="5" t="s">
        <v>19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10">
        <f>B13/(0.000025*C18*B18*D18*E18)</f>
        <v>0.05226300829</v>
      </c>
      <c r="C20" s="1" t="s">
        <v>27</v>
      </c>
    </row>
    <row r="22">
      <c r="C22" s="1" t="s">
        <v>28</v>
      </c>
    </row>
    <row r="23">
      <c r="C23" s="1" t="s">
        <v>29</v>
      </c>
    </row>
  </sheetData>
  <conditionalFormatting sqref="D19">
    <cfRule type="cellIs" dxfId="0" priority="1" operator="greaterThan">
      <formula>"B20&gt;B8"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9.75"/>
    <col customWidth="1" min="4" max="4" width="16.38"/>
    <col customWidth="1" min="5" max="5" width="16.5"/>
  </cols>
  <sheetData>
    <row r="1">
      <c r="A1" s="1"/>
    </row>
    <row r="5">
      <c r="B5" s="2" t="s">
        <v>0</v>
      </c>
      <c r="C5" s="2" t="s">
        <v>1</v>
      </c>
      <c r="D5" s="2" t="s">
        <v>2</v>
      </c>
    </row>
    <row r="6">
      <c r="B6" s="3">
        <v>2400.0</v>
      </c>
      <c r="C6" s="3">
        <v>400.0</v>
      </c>
      <c r="D6" s="3">
        <v>10.0</v>
      </c>
    </row>
    <row r="7">
      <c r="A7" s="4" t="s">
        <v>3</v>
      </c>
      <c r="B7" s="5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B8" s="7">
        <f>(B6-C6)*(100-D6)/100</f>
        <v>1800</v>
      </c>
    </row>
    <row r="10">
      <c r="B10" s="2" t="s">
        <v>5</v>
      </c>
      <c r="C10" s="2" t="s">
        <v>30</v>
      </c>
      <c r="D10" s="2" t="s">
        <v>6</v>
      </c>
      <c r="E10" s="2" t="s">
        <v>7</v>
      </c>
      <c r="F10" s="2" t="s">
        <v>8</v>
      </c>
      <c r="G10" s="2"/>
      <c r="H10" s="2"/>
      <c r="I10" s="2"/>
      <c r="J10" s="2"/>
    </row>
    <row r="11">
      <c r="B11" s="3">
        <v>1670.0</v>
      </c>
      <c r="C11" s="11">
        <f>B11*F11</f>
        <v>1503</v>
      </c>
      <c r="D11" s="3">
        <v>2000.0</v>
      </c>
      <c r="E11" s="3">
        <v>2.2</v>
      </c>
      <c r="F11" s="3">
        <v>0.9</v>
      </c>
      <c r="G11" s="3"/>
      <c r="H11" s="3"/>
      <c r="I11" s="3"/>
      <c r="J11" s="3"/>
    </row>
    <row r="12">
      <c r="A12" s="4" t="s">
        <v>3</v>
      </c>
      <c r="B12" s="5" t="s">
        <v>9</v>
      </c>
      <c r="C12" s="5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8">
        <f>C11/(D11*2*PI()/60)</f>
        <v>7.176296384</v>
      </c>
    </row>
    <row r="17">
      <c r="B17" s="2" t="s">
        <v>10</v>
      </c>
      <c r="C17" s="2" t="s">
        <v>11</v>
      </c>
      <c r="D17" s="2" t="s">
        <v>12</v>
      </c>
      <c r="E17" s="2" t="s">
        <v>13</v>
      </c>
    </row>
    <row r="18">
      <c r="B18" s="3">
        <v>260.8</v>
      </c>
      <c r="C18" s="3">
        <v>24000.0</v>
      </c>
      <c r="D18" s="3">
        <v>1.0</v>
      </c>
      <c r="E18" s="3">
        <v>1.5</v>
      </c>
    </row>
    <row r="19">
      <c r="A19" s="4" t="s">
        <v>3</v>
      </c>
      <c r="B19" s="5" t="s">
        <v>14</v>
      </c>
      <c r="C19" s="5" t="s">
        <v>15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9">
        <f>B13/(0.000025*C18*B18*D18*E18)</f>
        <v>0.03057385985</v>
      </c>
      <c r="C20" s="1" t="s">
        <v>16</v>
      </c>
    </row>
    <row r="21">
      <c r="C21" s="1" t="s">
        <v>17</v>
      </c>
    </row>
    <row r="22">
      <c r="C22" s="1" t="s">
        <v>18</v>
      </c>
    </row>
  </sheetData>
  <conditionalFormatting sqref="D19">
    <cfRule type="cellIs" dxfId="0" priority="1" operator="greaterThan">
      <formula>"B20&gt;B8"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9.75"/>
    <col customWidth="1" min="4" max="4" width="16.38"/>
    <col customWidth="1" min="5" max="5" width="16.5"/>
  </cols>
  <sheetData>
    <row r="1">
      <c r="A1" s="1"/>
    </row>
    <row r="5">
      <c r="B5" s="2" t="s">
        <v>0</v>
      </c>
      <c r="C5" s="2" t="s">
        <v>1</v>
      </c>
      <c r="D5" s="2" t="s">
        <v>2</v>
      </c>
    </row>
    <row r="6">
      <c r="B6" s="3">
        <v>2400.0</v>
      </c>
      <c r="C6" s="3">
        <v>400.0</v>
      </c>
      <c r="D6" s="3">
        <v>10.0</v>
      </c>
    </row>
    <row r="7">
      <c r="A7" s="4" t="s">
        <v>3</v>
      </c>
      <c r="B7" s="5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B8" s="7">
        <f>(B6-C6)*(100-D6)/100</f>
        <v>1800</v>
      </c>
    </row>
    <row r="10">
      <c r="B10" s="2" t="s">
        <v>5</v>
      </c>
      <c r="C10" s="2" t="s">
        <v>30</v>
      </c>
      <c r="D10" s="2" t="s">
        <v>6</v>
      </c>
      <c r="E10" s="2" t="s">
        <v>7</v>
      </c>
      <c r="F10" s="2" t="s">
        <v>8</v>
      </c>
      <c r="G10" s="2"/>
      <c r="H10" s="2"/>
      <c r="I10" s="2"/>
      <c r="J10" s="2"/>
    </row>
    <row r="11">
      <c r="B11" s="3">
        <v>1670.0</v>
      </c>
      <c r="C11" s="11">
        <f>B11*F11</f>
        <v>1503</v>
      </c>
      <c r="D11" s="3">
        <v>1000.0</v>
      </c>
      <c r="E11" s="3">
        <v>2.2</v>
      </c>
      <c r="F11" s="3">
        <v>0.9</v>
      </c>
      <c r="G11" s="3"/>
      <c r="H11" s="3"/>
      <c r="I11" s="3"/>
      <c r="J11" s="3"/>
    </row>
    <row r="12">
      <c r="A12" s="4" t="s">
        <v>3</v>
      </c>
      <c r="B12" s="5" t="s">
        <v>9</v>
      </c>
      <c r="C12" s="5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8">
        <f>C11/(D11*2*PI()/60)</f>
        <v>14.35259277</v>
      </c>
    </row>
    <row r="17">
      <c r="B17" s="2" t="s">
        <v>10</v>
      </c>
      <c r="C17" s="2" t="s">
        <v>11</v>
      </c>
      <c r="D17" s="2" t="s">
        <v>12</v>
      </c>
      <c r="E17" s="2" t="s">
        <v>13</v>
      </c>
    </row>
    <row r="18">
      <c r="B18" s="3">
        <v>260.8</v>
      </c>
      <c r="C18" s="3">
        <v>24000.0</v>
      </c>
      <c r="D18" s="3">
        <v>1.0</v>
      </c>
      <c r="E18" s="3">
        <v>1.5</v>
      </c>
    </row>
    <row r="19">
      <c r="A19" s="4" t="s">
        <v>3</v>
      </c>
      <c r="B19" s="5" t="s">
        <v>14</v>
      </c>
      <c r="C19" s="5" t="s">
        <v>15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9">
        <f>B13/(0.000025*C18*B18*D18*E18)</f>
        <v>0.0611477197</v>
      </c>
      <c r="C20" s="1">
        <v>0.03</v>
      </c>
    </row>
    <row r="21">
      <c r="C21" s="1" t="s">
        <v>31</v>
      </c>
    </row>
    <row r="22">
      <c r="C22" s="1" t="s">
        <v>32</v>
      </c>
    </row>
  </sheetData>
  <conditionalFormatting sqref="D19">
    <cfRule type="cellIs" dxfId="0" priority="1" operator="greaterThan">
      <formula>"B20&gt;B8"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29.75"/>
    <col customWidth="1" min="4" max="4" width="16.38"/>
    <col customWidth="1" min="5" max="5" width="16.5"/>
  </cols>
  <sheetData>
    <row r="1">
      <c r="A1" s="1"/>
    </row>
    <row r="5">
      <c r="B5" s="2" t="s">
        <v>0</v>
      </c>
      <c r="C5" s="2" t="s">
        <v>1</v>
      </c>
      <c r="D5" s="2" t="s">
        <v>2</v>
      </c>
    </row>
    <row r="6">
      <c r="B6" s="3">
        <v>2400.0</v>
      </c>
      <c r="C6" s="3">
        <v>84.02</v>
      </c>
      <c r="D6" s="3">
        <v>5.0</v>
      </c>
    </row>
    <row r="7">
      <c r="A7" s="4" t="s">
        <v>3</v>
      </c>
      <c r="B7" s="5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B8" s="7">
        <f>(B6-C6)*(100-D6)/100</f>
        <v>2200.181</v>
      </c>
    </row>
    <row r="10">
      <c r="B10" s="2" t="s">
        <v>5</v>
      </c>
      <c r="C10" s="2" t="s">
        <v>30</v>
      </c>
      <c r="D10" s="2" t="s">
        <v>6</v>
      </c>
      <c r="E10" s="2" t="s">
        <v>7</v>
      </c>
      <c r="F10" s="2" t="s">
        <v>8</v>
      </c>
      <c r="G10" s="2"/>
      <c r="H10" s="2"/>
      <c r="I10" s="2"/>
      <c r="J10" s="2"/>
    </row>
    <row r="11">
      <c r="B11" s="3">
        <v>2200.0</v>
      </c>
      <c r="C11" s="11">
        <f>B11*F11</f>
        <v>1980</v>
      </c>
      <c r="D11" s="3">
        <v>100.0</v>
      </c>
      <c r="E11" s="3">
        <v>2.2</v>
      </c>
      <c r="F11" s="3">
        <v>0.9</v>
      </c>
      <c r="G11" s="3"/>
      <c r="H11" s="3"/>
      <c r="I11" s="3"/>
      <c r="J11" s="3"/>
    </row>
    <row r="12">
      <c r="A12" s="4" t="s">
        <v>3</v>
      </c>
      <c r="B12" s="5" t="s">
        <v>9</v>
      </c>
      <c r="C12" s="5"/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8">
        <f>C11/(D11*2*PI()/60)</f>
        <v>189.0760724</v>
      </c>
    </row>
    <row r="17">
      <c r="B17" s="2" t="s">
        <v>10</v>
      </c>
      <c r="C17" s="2" t="s">
        <v>11</v>
      </c>
      <c r="D17" s="2" t="s">
        <v>12</v>
      </c>
      <c r="E17" s="2" t="s">
        <v>13</v>
      </c>
    </row>
    <row r="18">
      <c r="B18" s="3">
        <v>260.8</v>
      </c>
      <c r="C18" s="3">
        <v>24000.0</v>
      </c>
      <c r="D18" s="3">
        <v>1.0</v>
      </c>
      <c r="E18" s="3">
        <v>1.5</v>
      </c>
    </row>
    <row r="19">
      <c r="A19" s="4" t="s">
        <v>3</v>
      </c>
      <c r="B19" s="5" t="s">
        <v>14</v>
      </c>
      <c r="C19" s="5" t="s">
        <v>15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B20" s="9">
        <f>B13/(0.000025*C18*B18*D18*E18)</f>
        <v>0.8055388224</v>
      </c>
      <c r="C20" s="1">
        <v>0.03</v>
      </c>
    </row>
    <row r="21">
      <c r="C21" s="1" t="s">
        <v>31</v>
      </c>
    </row>
    <row r="22">
      <c r="C22" s="1" t="s">
        <v>32</v>
      </c>
    </row>
  </sheetData>
  <conditionalFormatting sqref="D19">
    <cfRule type="cellIs" dxfId="0" priority="1" operator="greaterThan">
      <formula>"B20&gt;B8"</formula>
    </cfRule>
  </conditionalFormatting>
  <drawing r:id="rId1"/>
</worksheet>
</file>