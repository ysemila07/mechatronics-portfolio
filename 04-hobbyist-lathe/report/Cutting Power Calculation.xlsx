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2nd attempt" sheetId="1" r:id="rId4"/>
  </sheets>
  <definedNames/>
  <calcPr/>
</workbook>
</file>

<file path=xl/sharedStrings.xml><?xml version="1.0" encoding="utf-8"?>
<sst xmlns="http://schemas.openxmlformats.org/spreadsheetml/2006/main" count="20" uniqueCount="18">
  <si>
    <t>Total power from wall (W)</t>
  </si>
  <si>
    <t>Power allocated for other loads (W)</t>
  </si>
  <si>
    <t>Safety buffer (%)</t>
  </si>
  <si>
    <t>Results</t>
  </si>
  <si>
    <t>Allowable power for lathe (W)</t>
  </si>
  <si>
    <t>2200w motor</t>
  </si>
  <si>
    <t>Spindle RPM N</t>
  </si>
  <si>
    <t>Cutting radius (cm)</t>
  </si>
  <si>
    <t>Cut depth (cm)</t>
  </si>
  <si>
    <t>Feed (cm/rev)</t>
  </si>
  <si>
    <t>Cutting speed V (cm/s)</t>
  </si>
  <si>
    <t>Rmr (Q) (cm^3/s)</t>
  </si>
  <si>
    <t>Feed factor for power C</t>
  </si>
  <si>
    <t>Drivetrain efficiency E</t>
  </si>
  <si>
    <t>Power constant Kp</t>
  </si>
  <si>
    <t>Tool wear factor W</t>
  </si>
  <si>
    <t>Required motor power Pm (kW)</t>
  </si>
  <si>
    <t>Pass/Fail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</si>
</sst>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8.25"/>
    <col customWidth="1" min="4" max="4" width="16.38"/>
    <col customWidth="1" min="5" max="5" width="15.38"/>
  </cols>
  <sheetData>
    <row r="5">
      <c r="B5" s="1" t="s">
        <v>0</v>
      </c>
      <c r="C5" s="1" t="s">
        <v>1</v>
      </c>
      <c r="D5" s="1" t="s">
        <v>2</v>
      </c>
    </row>
    <row r="6">
      <c r="B6" s="2">
        <v>2400.0</v>
      </c>
      <c r="C6" s="2">
        <v>84.0</v>
      </c>
      <c r="D6" s="2">
        <v>5.0</v>
      </c>
    </row>
    <row r="7">
      <c r="A7" s="3" t="s">
        <v>3</v>
      </c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6">
        <f>(B6-C6)*(100-D6)/100</f>
        <v>2200.2</v>
      </c>
      <c r="C8" s="7" t="s">
        <v>5</v>
      </c>
    </row>
    <row r="10">
      <c r="B10" s="1" t="s">
        <v>6</v>
      </c>
      <c r="C10" s="1" t="s">
        <v>7</v>
      </c>
      <c r="D10" s="1" t="s">
        <v>8</v>
      </c>
      <c r="E10" s="1" t="s">
        <v>9</v>
      </c>
    </row>
    <row r="11">
      <c r="B11" s="2">
        <v>1000.0</v>
      </c>
      <c r="C11" s="2">
        <v>9.0</v>
      </c>
      <c r="D11" s="2">
        <v>0.1</v>
      </c>
      <c r="E11" s="2">
        <v>0.005</v>
      </c>
    </row>
    <row r="12">
      <c r="A12" s="3" t="s">
        <v>3</v>
      </c>
      <c r="B12" s="4" t="s">
        <v>10</v>
      </c>
      <c r="C12" s="4" t="s">
        <v>11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6">
        <f>2*PI()*C11*B11/60</f>
        <v>942.4777961</v>
      </c>
      <c r="C13" s="6">
        <f>B13*E11*D11</f>
        <v>0.471238898</v>
      </c>
    </row>
    <row r="17">
      <c r="B17" s="1" t="s">
        <v>12</v>
      </c>
      <c r="C17" s="1" t="s">
        <v>13</v>
      </c>
      <c r="D17" s="1" t="s">
        <v>14</v>
      </c>
      <c r="E17" s="1" t="s">
        <v>15</v>
      </c>
    </row>
    <row r="18">
      <c r="B18" s="2">
        <v>1.4</v>
      </c>
      <c r="C18" s="2">
        <v>0.675</v>
      </c>
      <c r="D18" s="2">
        <v>1.64</v>
      </c>
      <c r="E18" s="2">
        <v>1.3</v>
      </c>
    </row>
    <row r="19">
      <c r="A19" s="3" t="s">
        <v>3</v>
      </c>
      <c r="B19" s="4" t="s">
        <v>16</v>
      </c>
      <c r="C19" s="4" t="s">
        <v>17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8">
        <f>D18*B18*C13*E18/C18</f>
        <v>2.083783501</v>
      </c>
      <c r="C20" s="6" t="str">
        <f>IF(B20*1000&lt;=B8,"Pass","Fail")</f>
        <v>Pass</v>
      </c>
    </row>
  </sheetData>
  <conditionalFormatting sqref="D19">
    <cfRule type="cellIs" dxfId="0" priority="1" operator="greaterThan">
      <formula>"B20&gt;B8"</formula>
    </cfRule>
  </conditionalFormatting>
  <conditionalFormatting sqref="C20">
    <cfRule type="expression" dxfId="1" priority="2">
      <formula>"B20&gt;B8"</formula>
    </cfRule>
  </conditionalFormatting>
  <drawing r:id="rId1"/>
</worksheet>
</file>